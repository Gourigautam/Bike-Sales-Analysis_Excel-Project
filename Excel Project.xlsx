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8_{869B1092-0C1B-4D32-A4B2-814CEAC3AF2C}" xr6:coauthVersionLast="47" xr6:coauthVersionMax="47" xr10:uidLastSave="{00000000-0000-0000-0000-000000000000}"/>
  <bookViews>
    <workbookView xWindow="-108" yWindow="-108" windowWidth="23256" windowHeight="12456" firstSheet="1"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4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996" i="4" l="1"/>
  <c r="M997" i="4"/>
  <c r="M998" i="4"/>
  <c r="M999" i="4"/>
  <c r="M1000" i="4"/>
  <c r="M1001"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2"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<sst xmlns="http://schemas.openxmlformats.org/spreadsheetml/2006/main" count="16274" uniqueCount="51">
  <si>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</si>
  <si>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</si>
  <si>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</si>
  <si>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</si>
  <si>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</si>
  <si>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</si>
  <si>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</si>
  <si>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</si>
  <si>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</si>
  <si>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</si>
  <si>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</si>
  <si>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</si>
  <si>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</si>
  <si>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</si>
  <si>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</si>
  <si>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</si>
  <si>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</si>
  <si>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</si>
  <si>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</si>
  <si>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</si>
  <si>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</si>
  <si>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</si>
  <si>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</si>
  <si>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</si>
  <si>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</si>
  <si>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</si>
  <si>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</si>
  <si>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</si>
  <si>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</si>
  <si>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</si>
  <si>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</si>
  <si>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</si>
  <si>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</si>
  <si>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</si>
  <si>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</si>
  <si>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</si>
  <si>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</si>
  <si>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</si>
  <si>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</si>
  <si>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</si>
  <si>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</si>
  <si>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</si>
  <si>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</si>
  <si>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</si>
  <si>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</si>
  <si>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</si>
  <si>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</si>
  <si>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Adult</t>
  </si>
  <si>
    <t>Middle Age</t>
  </si>
  <si>
    <t>Old</t>
  </si>
  <si>
    <t xml:space="preserve">                            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</si>
</sst>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quot;$&quot;#,##0.00"/>
    <numFmt numFmtId="166" formatCode="_-[$$-409]* #,##0.00_ ;_-[$$-409]* \-#,##0.00\ ;_-[$$-409]* &quot;-&quot;??_ ;_-@_ "/>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4"/>
      <name val="Calibri"/>
      <family val="2"/>
      <scheme val="minor"/>
    </font>
    <font>
      <sz val="16"/>
      <color theme="4"/>
      <name val="Calibri"/>
      <family val="2"/>
      <scheme val="minor"/>
    </font>
    <font>
      <sz val="20"/>
      <color theme="2"/>
      <name val="Arial Rounded MT 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3">
    <xf numFmtId="0" fontId="0" fillId="0" borderId="0" xfId="0"/>
    <xf numFmtId="164" fontId="0" fillId="0" borderId="0" xfId="0" applyNumberFormat="1"/>
    <xf numFmtId="0" fontId="18" fillId="0" borderId="0" xfId="0" applyFont="1"/>
    <xf numFmtId="166" fontId="0" fillId="0" borderId="0" xfId="42" applyNumberFormat="1" applyFont="1"/>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0" fontId="19" fillId="33" borderId="0" xfId="0" applyFont="1" applyFill="1"/>
    <xf numFmtId="0" fontId="0" fillId="33" borderId="0" xfId="0" applyFont="1" applyFill="1"/>
    <xf numFmtId="0" fontId="20" fillId="33" borderId="0" xfId="0" applyFont="1" applyFill="1"/>
    <xf numFmtId="0" fontId="21" fillId="33" borderId="0" xfId="0" applyFont="1" applyFill="1" applyAlignment="1">
      <alignment horizontal="left"/>
    </xf>
    <xf numFmtId="0" fontId="19" fillId="33" borderId="0" xfId="0" applyFont="1" applyFill="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F854-4BFE-A467-AA1F6EA90E43}"/>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F854-4BFE-A467-AA1F6EA90E43}"/>
            </c:ext>
          </c:extLst>
        </c:ser>
        <c:dLbls>
          <c:showLegendKey val="0"/>
          <c:showVal val="0"/>
          <c:showCatName val="0"/>
          <c:showSerName val="0"/>
          <c:showPercent val="0"/>
          <c:showBubbleSize val="0"/>
        </c:dLbls>
        <c:gapWidth val="219"/>
        <c:overlap val="-27"/>
        <c:axId val="1947448880"/>
        <c:axId val="1947449360"/>
      </c:barChart>
      <c:catAx>
        <c:axId val="19474488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449360"/>
        <c:crosses val="autoZero"/>
        <c:auto val="1"/>
        <c:lblAlgn val="ctr"/>
        <c:lblOffset val="100"/>
        <c:noMultiLvlLbl val="0"/>
      </c:catAx>
      <c:valAx>
        <c:axId val="1947449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4488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5F6-4C77-BE83-15E3A528387D}"/>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5F6-4C77-BE83-15E3A528387D}"/>
            </c:ext>
          </c:extLst>
        </c:ser>
        <c:dLbls>
          <c:showLegendKey val="0"/>
          <c:showVal val="0"/>
          <c:showCatName val="0"/>
          <c:showSerName val="0"/>
          <c:showPercent val="0"/>
          <c:showBubbleSize val="0"/>
        </c:dLbls>
        <c:smooth val="0"/>
        <c:axId val="273957632"/>
        <c:axId val="273958592"/>
      </c:lineChart>
      <c:catAx>
        <c:axId val="2739576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958592"/>
        <c:crosses val="autoZero"/>
        <c:auto val="1"/>
        <c:lblAlgn val="ctr"/>
        <c:lblOffset val="100"/>
        <c:noMultiLvlLbl val="0"/>
      </c:catAx>
      <c:valAx>
        <c:axId val="273958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957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12684952842433E-2"/>
          <c:y val="0.25865522018081066"/>
          <c:w val="0.76082797342639863"/>
          <c:h val="0.43957239720034996"/>
        </c:manualLayout>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Adult</c:v>
                </c:pt>
                <c:pt idx="1">
                  <c:v>Middle Age</c:v>
                </c:pt>
                <c:pt idx="2">
                  <c:v>Old</c:v>
                </c:pt>
              </c:strCache>
            </c:strRef>
          </c:cat>
          <c:val>
            <c:numRef>
              <c:f>'Pivot table'!$B$41:$B$44</c:f>
              <c:numCache>
                <c:formatCode>General</c:formatCode>
                <c:ptCount val="3"/>
                <c:pt idx="0">
                  <c:v>2</c:v>
                </c:pt>
                <c:pt idx="1">
                  <c:v>89</c:v>
                </c:pt>
                <c:pt idx="2">
                  <c:v>46</c:v>
                </c:pt>
              </c:numCache>
            </c:numRef>
          </c:val>
          <c:smooth val="0"/>
          <c:extLst>
            <c:ext xmlns:c16="http://schemas.microsoft.com/office/drawing/2014/chart" uri="{C3380CC4-5D6E-409C-BE32-E72D297353CC}">
              <c16:uniqueId val="{00000000-A681-4C53-8EFB-DA58B6179A60}"/>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Adult</c:v>
                </c:pt>
                <c:pt idx="1">
                  <c:v>Middle Age</c:v>
                </c:pt>
                <c:pt idx="2">
                  <c:v>Old</c:v>
                </c:pt>
              </c:strCache>
            </c:strRef>
          </c:cat>
          <c:val>
            <c:numRef>
              <c:f>'Pivot table'!$C$41:$C$44</c:f>
              <c:numCache>
                <c:formatCode>General</c:formatCode>
                <c:ptCount val="3"/>
                <c:pt idx="0">
                  <c:v>7</c:v>
                </c:pt>
                <c:pt idx="1">
                  <c:v>141</c:v>
                </c:pt>
                <c:pt idx="2">
                  <c:v>21</c:v>
                </c:pt>
              </c:numCache>
            </c:numRef>
          </c:val>
          <c:smooth val="0"/>
          <c:extLst>
            <c:ext xmlns:c16="http://schemas.microsoft.com/office/drawing/2014/chart" uri="{C3380CC4-5D6E-409C-BE32-E72D297353CC}">
              <c16:uniqueId val="{00000001-A681-4C53-8EFB-DA58B6179A60}"/>
            </c:ext>
          </c:extLst>
        </c:ser>
        <c:dLbls>
          <c:showLegendKey val="0"/>
          <c:showVal val="0"/>
          <c:showCatName val="0"/>
          <c:showSerName val="0"/>
          <c:showPercent val="0"/>
          <c:showBubbleSize val="0"/>
        </c:dLbls>
        <c:marker val="1"/>
        <c:smooth val="0"/>
        <c:axId val="278320272"/>
        <c:axId val="278320752"/>
      </c:lineChart>
      <c:catAx>
        <c:axId val="2783202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layout>
            <c:manualLayout>
              <c:xMode val="edge"/>
              <c:yMode val="edge"/>
              <c:x val="0.35994313210848644"/>
              <c:y val="0.787108486439195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320752"/>
        <c:crosses val="autoZero"/>
        <c:auto val="1"/>
        <c:lblAlgn val="ctr"/>
        <c:lblOffset val="100"/>
        <c:noMultiLvlLbl val="0"/>
      </c:catAx>
      <c:valAx>
        <c:axId val="278320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320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table!PivotTable10</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580927384076991E-2"/>
          <c:y val="0.14249781277340332"/>
          <c:w val="0.89732458442694651"/>
          <c:h val="0.73723461650627009"/>
        </c:manualLayout>
      </c:layout>
      <c:lineChart>
        <c:grouping val="standard"/>
        <c:varyColors val="0"/>
        <c:ser>
          <c:idx val="0"/>
          <c:order val="0"/>
          <c:tx>
            <c:strRef>
              <c:f>'Pivot table'!$B$57:$B$58</c:f>
              <c:strCache>
                <c:ptCount val="1"/>
                <c:pt idx="0">
                  <c:v>No</c:v>
                </c:pt>
              </c:strCache>
            </c:strRef>
          </c:tx>
          <c:spPr>
            <a:ln w="28575" cap="rnd">
              <a:solidFill>
                <a:schemeClr val="accent1"/>
              </a:solidFill>
              <a:round/>
            </a:ln>
            <a:effectLst/>
          </c:spPr>
          <c:marker>
            <c:symbol val="none"/>
          </c:marker>
          <c:cat>
            <c:strRef>
              <c:f>'Pivot table'!$A$59:$A$112</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table'!$B$59:$B$112</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8542-4B60-A0B1-70B4AF572D17}"/>
            </c:ext>
          </c:extLst>
        </c:ser>
        <c:ser>
          <c:idx val="1"/>
          <c:order val="1"/>
          <c:tx>
            <c:strRef>
              <c:f>'Pivot table'!$C$57:$C$58</c:f>
              <c:strCache>
                <c:ptCount val="1"/>
                <c:pt idx="0">
                  <c:v>Yes</c:v>
                </c:pt>
              </c:strCache>
            </c:strRef>
          </c:tx>
          <c:spPr>
            <a:ln w="28575" cap="rnd">
              <a:solidFill>
                <a:schemeClr val="accent2"/>
              </a:solidFill>
              <a:round/>
            </a:ln>
            <a:effectLst/>
          </c:spPr>
          <c:marker>
            <c:symbol val="none"/>
          </c:marker>
          <c:cat>
            <c:strRef>
              <c:f>'Pivot table'!$A$59:$A$112</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table'!$C$59:$C$112</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8542-4B60-A0B1-70B4AF572D17}"/>
            </c:ext>
          </c:extLst>
        </c:ser>
        <c:dLbls>
          <c:showLegendKey val="0"/>
          <c:showVal val="0"/>
          <c:showCatName val="0"/>
          <c:showSerName val="0"/>
          <c:showPercent val="0"/>
          <c:showBubbleSize val="0"/>
        </c:dLbls>
        <c:smooth val="0"/>
        <c:axId val="1943602784"/>
        <c:axId val="2073944832"/>
      </c:lineChart>
      <c:catAx>
        <c:axId val="1943602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3944832"/>
        <c:crosses val="autoZero"/>
        <c:auto val="1"/>
        <c:lblAlgn val="ctr"/>
        <c:lblOffset val="100"/>
        <c:noMultiLvlLbl val="0"/>
      </c:catAx>
      <c:valAx>
        <c:axId val="2073944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3602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EBDC-4C73-964D-871C3B477591}"/>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EBDC-4C73-964D-871C3B477591}"/>
            </c:ext>
          </c:extLst>
        </c:ser>
        <c:dLbls>
          <c:showLegendKey val="0"/>
          <c:showVal val="0"/>
          <c:showCatName val="0"/>
          <c:showSerName val="0"/>
          <c:showPercent val="0"/>
          <c:showBubbleSize val="0"/>
        </c:dLbls>
        <c:gapWidth val="219"/>
        <c:overlap val="-27"/>
        <c:axId val="1947448880"/>
        <c:axId val="1947449360"/>
      </c:barChart>
      <c:catAx>
        <c:axId val="19474488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449360"/>
        <c:crosses val="autoZero"/>
        <c:auto val="1"/>
        <c:lblAlgn val="ctr"/>
        <c:lblOffset val="100"/>
        <c:noMultiLvlLbl val="0"/>
      </c:catAx>
      <c:valAx>
        <c:axId val="1947449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4488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319-4CB5-B390-A4F7A8EDE60C}"/>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319-4CB5-B390-A4F7A8EDE60C}"/>
            </c:ext>
          </c:extLst>
        </c:ser>
        <c:dLbls>
          <c:showLegendKey val="0"/>
          <c:showVal val="0"/>
          <c:showCatName val="0"/>
          <c:showSerName val="0"/>
          <c:showPercent val="0"/>
          <c:showBubbleSize val="0"/>
        </c:dLbls>
        <c:smooth val="0"/>
        <c:axId val="273957632"/>
        <c:axId val="273958592"/>
      </c:lineChart>
      <c:catAx>
        <c:axId val="2739576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958592"/>
        <c:crosses val="autoZero"/>
        <c:auto val="1"/>
        <c:lblAlgn val="ctr"/>
        <c:lblOffset val="100"/>
        <c:noMultiLvlLbl val="0"/>
      </c:catAx>
      <c:valAx>
        <c:axId val="273958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957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12684952842433E-2"/>
          <c:y val="0.25865522018081066"/>
          <c:w val="0.76082797342639863"/>
          <c:h val="0.43957239720034996"/>
        </c:manualLayout>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Adult</c:v>
                </c:pt>
                <c:pt idx="1">
                  <c:v>Middle Age</c:v>
                </c:pt>
                <c:pt idx="2">
                  <c:v>Old</c:v>
                </c:pt>
              </c:strCache>
            </c:strRef>
          </c:cat>
          <c:val>
            <c:numRef>
              <c:f>'Pivot table'!$B$41:$B$44</c:f>
              <c:numCache>
                <c:formatCode>General</c:formatCode>
                <c:ptCount val="3"/>
                <c:pt idx="0">
                  <c:v>2</c:v>
                </c:pt>
                <c:pt idx="1">
                  <c:v>89</c:v>
                </c:pt>
                <c:pt idx="2">
                  <c:v>46</c:v>
                </c:pt>
              </c:numCache>
            </c:numRef>
          </c:val>
          <c:smooth val="0"/>
          <c:extLst>
            <c:ext xmlns:c16="http://schemas.microsoft.com/office/drawing/2014/chart" uri="{C3380CC4-5D6E-409C-BE32-E72D297353CC}">
              <c16:uniqueId val="{00000000-AF2A-4138-BD25-3F400C638541}"/>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Adult</c:v>
                </c:pt>
                <c:pt idx="1">
                  <c:v>Middle Age</c:v>
                </c:pt>
                <c:pt idx="2">
                  <c:v>Old</c:v>
                </c:pt>
              </c:strCache>
            </c:strRef>
          </c:cat>
          <c:val>
            <c:numRef>
              <c:f>'Pivot table'!$C$41:$C$44</c:f>
              <c:numCache>
                <c:formatCode>General</c:formatCode>
                <c:ptCount val="3"/>
                <c:pt idx="0">
                  <c:v>7</c:v>
                </c:pt>
                <c:pt idx="1">
                  <c:v>141</c:v>
                </c:pt>
                <c:pt idx="2">
                  <c:v>21</c:v>
                </c:pt>
              </c:numCache>
            </c:numRef>
          </c:val>
          <c:smooth val="0"/>
          <c:extLst>
            <c:ext xmlns:c16="http://schemas.microsoft.com/office/drawing/2014/chart" uri="{C3380CC4-5D6E-409C-BE32-E72D297353CC}">
              <c16:uniqueId val="{00000001-AF2A-4138-BD25-3F400C638541}"/>
            </c:ext>
          </c:extLst>
        </c:ser>
        <c:dLbls>
          <c:showLegendKey val="0"/>
          <c:showVal val="0"/>
          <c:showCatName val="0"/>
          <c:showSerName val="0"/>
          <c:showPercent val="0"/>
          <c:showBubbleSize val="0"/>
        </c:dLbls>
        <c:marker val="1"/>
        <c:smooth val="0"/>
        <c:axId val="278320272"/>
        <c:axId val="278320752"/>
      </c:lineChart>
      <c:catAx>
        <c:axId val="2783202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layout>
            <c:manualLayout>
              <c:xMode val="edge"/>
              <c:yMode val="edge"/>
              <c:x val="0.35994313210848644"/>
              <c:y val="0.787108486439195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320752"/>
        <c:crosses val="autoZero"/>
        <c:auto val="1"/>
        <c:lblAlgn val="ctr"/>
        <c:lblOffset val="100"/>
        <c:noMultiLvlLbl val="0"/>
      </c:catAx>
      <c:valAx>
        <c:axId val="278320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320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0</xdr:colOff>
      <xdr:row>1</xdr:row>
      <xdr:rowOff>3810</xdr:rowOff>
    </xdr:from>
    <xdr:to>
      <xdr:col>12</xdr:col>
      <xdr:colOff>304800</xdr:colOff>
      <xdr:row>16</xdr:row>
      <xdr:rowOff>3810</xdr:rowOff>
    </xdr:to>
    <xdr:graphicFrame macro="">
      <xdr:nvGraphicFramePr>
        <xdr:cNvPr id="3" name="Chart 2">
          <a:extLst>
            <a:ext uri="{FF2B5EF4-FFF2-40B4-BE49-F238E27FC236}">
              <a16:creationId xmlns:a16="http://schemas.microsoft.com/office/drawing/2014/main" id="{CC9758DD-943F-DC67-F8CB-F64E8E8989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xdr:colOff>
      <xdr:row>17</xdr:row>
      <xdr:rowOff>171450</xdr:rowOff>
    </xdr:from>
    <xdr:to>
      <xdr:col>12</xdr:col>
      <xdr:colOff>304806</xdr:colOff>
      <xdr:row>32</xdr:row>
      <xdr:rowOff>171450</xdr:rowOff>
    </xdr:to>
    <xdr:graphicFrame macro="">
      <xdr:nvGraphicFramePr>
        <xdr:cNvPr id="4" name="Chart 3">
          <a:extLst>
            <a:ext uri="{FF2B5EF4-FFF2-40B4-BE49-F238E27FC236}">
              <a16:creationId xmlns:a16="http://schemas.microsoft.com/office/drawing/2014/main" id="{3FDADF58-B321-4410-C6BC-A11D415C9F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37</xdr:row>
      <xdr:rowOff>163830</xdr:rowOff>
    </xdr:from>
    <xdr:to>
      <xdr:col>12</xdr:col>
      <xdr:colOff>304800</xdr:colOff>
      <xdr:row>52</xdr:row>
      <xdr:rowOff>163830</xdr:rowOff>
    </xdr:to>
    <xdr:graphicFrame macro="">
      <xdr:nvGraphicFramePr>
        <xdr:cNvPr id="5" name="Chart 4">
          <a:extLst>
            <a:ext uri="{FF2B5EF4-FFF2-40B4-BE49-F238E27FC236}">
              <a16:creationId xmlns:a16="http://schemas.microsoft.com/office/drawing/2014/main" id="{DB14296C-8CF4-223D-2EFB-54CFA3B655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7620</xdr:colOff>
      <xdr:row>55</xdr:row>
      <xdr:rowOff>171450</xdr:rowOff>
    </xdr:from>
    <xdr:to>
      <xdr:col>9</xdr:col>
      <xdr:colOff>472440</xdr:colOff>
      <xdr:row>70</xdr:row>
      <xdr:rowOff>171450</xdr:rowOff>
    </xdr:to>
    <xdr:graphicFrame macro="">
      <xdr:nvGraphicFramePr>
        <xdr:cNvPr id="7" name="Chart 6">
          <a:extLst>
            <a:ext uri="{FF2B5EF4-FFF2-40B4-BE49-F238E27FC236}">
              <a16:creationId xmlns:a16="http://schemas.microsoft.com/office/drawing/2014/main" id="{673C4DA9-A65E-6E17-DB38-135A98A402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556260</xdr:colOff>
      <xdr:row>2</xdr:row>
      <xdr:rowOff>7620</xdr:rowOff>
    </xdr:from>
    <xdr:to>
      <xdr:col>10</xdr:col>
      <xdr:colOff>15240</xdr:colOff>
      <xdr:row>16</xdr:row>
      <xdr:rowOff>15240</xdr:rowOff>
    </xdr:to>
    <xdr:graphicFrame macro="">
      <xdr:nvGraphicFramePr>
        <xdr:cNvPr id="2" name="Chart 1">
          <a:extLst>
            <a:ext uri="{FF2B5EF4-FFF2-40B4-BE49-F238E27FC236}">
              <a16:creationId xmlns:a16="http://schemas.microsoft.com/office/drawing/2014/main" id="{5BF855E1-48EA-4964-BD38-692C42AF18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525780</xdr:colOff>
      <xdr:row>16</xdr:row>
      <xdr:rowOff>7620</xdr:rowOff>
    </xdr:from>
    <xdr:to>
      <xdr:col>18</xdr:col>
      <xdr:colOff>601980</xdr:colOff>
      <xdr:row>27</xdr:row>
      <xdr:rowOff>106680</xdr:rowOff>
    </xdr:to>
    <xdr:graphicFrame macro="">
      <xdr:nvGraphicFramePr>
        <xdr:cNvPr id="3" name="Chart 2">
          <a:extLst>
            <a:ext uri="{FF2B5EF4-FFF2-40B4-BE49-F238E27FC236}">
              <a16:creationId xmlns:a16="http://schemas.microsoft.com/office/drawing/2014/main" id="{AB4C991A-EF23-4C00-9AA7-E94DFA2BD8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15240</xdr:colOff>
      <xdr:row>2</xdr:row>
      <xdr:rowOff>7620</xdr:rowOff>
    </xdr:from>
    <xdr:to>
      <xdr:col>19</xdr:col>
      <xdr:colOff>7620</xdr:colOff>
      <xdr:row>16</xdr:row>
      <xdr:rowOff>15240</xdr:rowOff>
    </xdr:to>
    <xdr:graphicFrame macro="">
      <xdr:nvGraphicFramePr>
        <xdr:cNvPr id="4" name="Chart 3">
          <a:extLst>
            <a:ext uri="{FF2B5EF4-FFF2-40B4-BE49-F238E27FC236}">
              <a16:creationId xmlns:a16="http://schemas.microsoft.com/office/drawing/2014/main" id="{E762D941-D672-4729-93AC-D8B66ACE3C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xdr:row>
      <xdr:rowOff>0</xdr:rowOff>
    </xdr:from>
    <xdr:to>
      <xdr:col>2</xdr:col>
      <xdr:colOff>571500</xdr:colOff>
      <xdr:row>9</xdr:row>
      <xdr:rowOff>22859</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11B62723-43CE-4BE3-B70E-84263A4B5CF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495300"/>
              <a:ext cx="1790700" cy="1303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22860</xdr:rowOff>
    </xdr:from>
    <xdr:to>
      <xdr:col>2</xdr:col>
      <xdr:colOff>571500</xdr:colOff>
      <xdr:row>22</xdr:row>
      <xdr:rowOff>112395</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31E41BD1-3719-45E3-8F47-B0C591F9FA1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1798320"/>
              <a:ext cx="17907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18</xdr:row>
      <xdr:rowOff>1</xdr:rowOff>
    </xdr:from>
    <xdr:to>
      <xdr:col>2</xdr:col>
      <xdr:colOff>571500</xdr:colOff>
      <xdr:row>27</xdr:row>
      <xdr:rowOff>114301</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5D0E9680-85F9-4424-B2FC-1E619D5C7E2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3340" y="3421381"/>
              <a:ext cx="1737360" cy="1760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uri" refreshedDate="46174.835385416663" createdVersion="8" refreshedVersion="8" minRefreshableVersion="3" recordCount="1000" xr:uid="{EC793381-273A-4F29-9A45-A77FD110A55D}">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ult"/>
      </sharedItems>
    </cacheField>
    <cacheField name="Purchased Bike" numFmtId="0">
      <sharedItems count="2">
        <s v="No"/>
        <s v="Yes"/>
      </sharedItems>
    </cacheField>
  </cacheFields>
  <extLst>
    <ext xmlns:x14="http://schemas.microsoft.com/office/spreadsheetml/2009/9/main" uri="{725AE2AE-9491-48be-B2B4-4EB974FC3084}">
      <x14:pivotCacheDefinition pivotCacheId="2312195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AA18C7-B326-40EB-A364-5E30D320AA21}" name="PivotTable10" cacheId="46"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2">
  <location ref="A57:D112" firstHeaderRow="1" firstDataRow="2" firstDataCol="1"/>
  <pivotFields count="14">
    <pivotField showAll="0"/>
    <pivotField showAll="0"/>
    <pivotField showAll="0"/>
    <pivotField numFmtId="166"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ACA185-5CD3-42C2-BFE7-4758ACDAA940}" name="PivotTable7"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9:D44"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h="1" x="4"/>
        <item h="1" x="2"/>
        <item h="1" x="1"/>
        <item h="1"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ED7D0A-395A-4347-96C1-E3ACAB7E389D}" name="PivotTable5"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9:D26" firstHeaderRow="1" firstDataRow="2" firstDataCol="1"/>
  <pivotFields count="14">
    <pivotField showAll="0"/>
    <pivotField showAll="0"/>
    <pivotField showAll="0"/>
    <pivotField numFmtId="166" showAll="0"/>
    <pivotField showAll="0"/>
    <pivotField showAll="0"/>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7DD561-7186-4A8C-BEEA-939F0823FCF1}" name="PivotTable4"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D5" firstHeaderRow="1" firstDataRow="2" firstDataCol="1"/>
  <pivotFields count="14">
    <pivotField showAll="0"/>
    <pivotField showAll="0"/>
    <pivotField axis="axisRow" showAll="0">
      <items count="3">
        <item x="0"/>
        <item x="1"/>
        <item t="default"/>
      </items>
    </pivotField>
    <pivotField dataField="1" numFmtId="166"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0">
      <pivotArea outline="0" collapsedLevelsAreSubtotals="1" fieldPosition="0"/>
    </format>
  </formats>
  <chartFormats count="4">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4FB2F4C-47C7-40B3-A5EE-B9BA87B7C87F}" sourceName="Marital Status">
  <pivotTables>
    <pivotTable tabId="3" name="PivotTable7"/>
  </pivotTables>
  <data>
    <tabular pivotCacheId="23121954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CFA9334-8B88-4744-9F0F-49BF55BED436}" sourceName="Education">
  <pivotTables>
    <pivotTable tabId="3" name="PivotTable7"/>
  </pivotTables>
  <data>
    <tabular pivotCacheId="231219540">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A0A6129-F09A-4843-81C7-7C4E2C77F45B}" sourceName="Region">
  <pivotTables>
    <pivotTable tabId="3" name="PivotTable7"/>
  </pivotTables>
  <data>
    <tabular pivotCacheId="23121954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E986DF00-536F-4C6A-AC54-B4CAAA7E16E8}" cache="Slicer_Marital_Status" caption="Marital Status" rowHeight="234950"/>
  <slicer name="Education" xr10:uid="{1DCC2A83-3EAB-4992-90EC-956748A5D65D}" cache="Slicer_Education" caption="Education" rowHeight="234950"/>
  <slicer name="Region" xr10:uid="{13D9FBBE-B7CD-4501-94CB-8F50CF4F7CB1}"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 workbookViewId="0">
      <selection activeCell="A10"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3CF2F-D42F-4DFC-8ABB-65BB93A36E60}">
  <dimension ref="A1:N1001"/>
  <sheetViews>
    <sheetView topLeftCell="F980" workbookViewId="0">
      <selection activeCell="H98" sqref="H98"/>
    </sheetView>
  </sheetViews>
  <sheetFormatPr defaultColWidth="18.33203125" defaultRowHeight="14.4" x14ac:dyDescent="0.3"/>
  <cols>
    <col min="4" max="4" width="18.33203125" style="3"/>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IF(L2&gt;54,"Old",IF(L2&gt;=31,"Middle Age",IF(L2&lt;31, "Adult","Invalid")))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IF(L3&gt;54,"Old",IF(L3&gt;=31,"Middle Age",IF(L3&lt;31, "Adult","Invalid")))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Adult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Adult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Adult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Adult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Adult</v>
      </c>
      <c r="N52" t="s">
        <v>18</v>
      </c>
    </row>
    <row r="53" spans="1:14" x14ac:dyDescent="0.3">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IF(L67&gt;54,"Old",IF(L67&gt;=31,"Middle Age",IF(L67&lt;31, "Adult","Invalid")))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Adult</v>
      </c>
      <c r="N71" t="s">
        <v>18</v>
      </c>
    </row>
    <row r="72" spans="1:14" x14ac:dyDescent="0.3">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Adult</v>
      </c>
      <c r="N78" t="s">
        <v>18</v>
      </c>
    </row>
    <row r="79" spans="1:14" x14ac:dyDescent="0.3">
      <c r="A79">
        <v>27969</v>
      </c>
      <c r="B79" t="s">
        <v>36</v>
      </c>
      <c r="C79" t="s">
        <v>38</v>
      </c>
      <c r="D79" s="3">
        <v>80000</v>
      </c>
      <c r="E79">
        <v>0</v>
      </c>
      <c r="F79" t="s">
        <v>13</v>
      </c>
      <c r="G79" t="s">
        <v>21</v>
      </c>
      <c r="H79" t="s">
        <v>15</v>
      </c>
      <c r="I79">
        <v>2</v>
      </c>
      <c r="J79" t="s">
        <v>46</v>
      </c>
      <c r="K79" t="s">
        <v>24</v>
      </c>
      <c r="L79">
        <v>29</v>
      </c>
      <c r="M79" t="str">
        <f t="shared" si="1"/>
        <v>Adult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Adult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Adult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Adult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Adult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Adult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Adult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Adult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Adult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Adult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Adult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 "Adult","Invalid")))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Adult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Adult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Adult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Adult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Adult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Adult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Age",IF(L195&lt;31, "Adult","Invalid")))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Adult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Adult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Adult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Adult</v>
      </c>
      <c r="N214" t="s">
        <v>18</v>
      </c>
    </row>
    <row r="215" spans="1:14" x14ac:dyDescent="0.3">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Adult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Adult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Adult</v>
      </c>
      <c r="N235" t="s">
        <v>15</v>
      </c>
    </row>
    <row r="236" spans="1:14" x14ac:dyDescent="0.3">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Adult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Adult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Adult</v>
      </c>
      <c r="N245" t="s">
        <v>18</v>
      </c>
    </row>
    <row r="246" spans="1:14" x14ac:dyDescent="0.3">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 "Adult","Invalid")))</f>
        <v>Middle Age</v>
      </c>
      <c r="N259" t="s">
        <v>15</v>
      </c>
    </row>
    <row r="260" spans="1:14" x14ac:dyDescent="0.3">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Adult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Adult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Adult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Adult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 "Adult","Invalid")))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Adult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Adult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Adult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Adult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Adult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f t="shared" si="5"/>
        <v>Adult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Adult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Adult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46</v>
      </c>
      <c r="K382" t="s">
        <v>24</v>
      </c>
      <c r="L382">
        <v>30</v>
      </c>
      <c r="M382" t="str">
        <f t="shared" si="5"/>
        <v>Adult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Adult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 "Adult","Invalid")))</f>
        <v>Middle Age</v>
      </c>
      <c r="N387" t="s">
        <v>18</v>
      </c>
    </row>
    <row r="388" spans="1:14" x14ac:dyDescent="0.3">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Adult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Adult</v>
      </c>
      <c r="N433" t="s">
        <v>15</v>
      </c>
    </row>
    <row r="434" spans="1:14" x14ac:dyDescent="0.3">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Adult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Adult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 "Adult","Invalid")))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Adult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Adult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Adult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Age",IF(L515&lt;31, "Adult","Invalid")))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Adult</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Adult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Adult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Adult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Adult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Adult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Adult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Adult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 "Adult","Invalid")))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Adult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Adult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Adult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Adult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Adult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Adult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Adult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Adult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Age",IF(L643&lt;31, "Adult","Invalid")))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Adult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Adult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Adult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Adult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Adult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Adult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Adult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Adult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Age",IF(L707&lt;31, "Adult","Invalid")))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Adult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Adult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Adult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Adult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Adult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Adult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Adult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 "Adult","Invalid")))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Adult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Adult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Adult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Adult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Adult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Adult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Adult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Adult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Adult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Adult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Adult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Adult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 "Adult","Invalid")))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Adult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Adult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Adult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Adult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 "Adult","Invalid")))</f>
        <v>Adult</v>
      </c>
      <c r="N899" t="s">
        <v>18</v>
      </c>
    </row>
    <row r="900" spans="1:14" x14ac:dyDescent="0.3">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Adult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Adult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Adult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Adult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Adult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995" si="15">IF(L963&gt;54,"Old",IF(L963&gt;=31,"Middle Age",IF(L963&lt;31, "Adult","Invalid")))</f>
        <v>Old</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Adult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Adult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IF(L996&gt;54,"Old",IF(L996&gt;=31,"Middle Age",IF(L996&lt;31, "Adult","Invalid")))</f>
        <v>Middle Age</v>
      </c>
      <c r="N996" t="s">
        <v>18</v>
      </c>
    </row>
    <row r="997" spans="1:14" x14ac:dyDescent="0.3">
      <c r="A997">
        <v>23731</v>
      </c>
      <c r="B997" t="s">
        <v>36</v>
      </c>
      <c r="C997" t="s">
        <v>38</v>
      </c>
      <c r="D997" s="3">
        <v>60000</v>
      </c>
      <c r="E997">
        <v>2</v>
      </c>
      <c r="F997" t="s">
        <v>27</v>
      </c>
      <c r="G997" t="s">
        <v>21</v>
      </c>
      <c r="H997" t="s">
        <v>15</v>
      </c>
      <c r="I997">
        <v>2</v>
      </c>
      <c r="J997" t="s">
        <v>22</v>
      </c>
      <c r="K997" t="s">
        <v>32</v>
      </c>
      <c r="L997">
        <v>54</v>
      </c>
      <c r="M997" t="str">
        <f t="shared" ref="M997:M1003" si="16">IF(L997&gt;54,"Old",IF(L997&gt;=31,"Middle Age",IF(L997&lt;31, "Adult","Invalid")))</f>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6"/>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6"/>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6"/>
        <v>Middle Age</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t="str">
        <f t="shared" si="16"/>
        <v>Middle Age</v>
      </c>
      <c r="N1001" t="s">
        <v>15</v>
      </c>
    </row>
  </sheetData>
  <autoFilter ref="A1:N1001" xr:uid="{B233CF2F-D42F-4DFC-8ABB-65BB93A36E6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A0989-B236-4D5C-8FBF-65DA4AC2604E}">
  <dimension ref="A1:D112"/>
  <sheetViews>
    <sheetView topLeftCell="C26" workbookViewId="0">
      <selection activeCell="D39" sqref="D39"/>
    </sheetView>
  </sheetViews>
  <sheetFormatPr defaultRowHeight="14.4" x14ac:dyDescent="0.3"/>
  <cols>
    <col min="1" max="1" width="21.88671875" bestFit="1" customWidth="1"/>
    <col min="2" max="2" width="15.5546875" bestFit="1" customWidth="1"/>
    <col min="3" max="3" width="4" bestFit="1" customWidth="1"/>
    <col min="4" max="4" width="10.77734375" bestFit="1" customWidth="1"/>
    <col min="5" max="5" width="10.6640625" bestFit="1" customWidth="1"/>
    <col min="6" max="6" width="26.6640625" bestFit="1" customWidth="1"/>
    <col min="7" max="7" width="15.44140625" bestFit="1" customWidth="1"/>
  </cols>
  <sheetData>
    <row r="1" spans="1:4" x14ac:dyDescent="0.3">
      <c r="A1" s="4" t="s">
        <v>43</v>
      </c>
      <c r="B1" s="4" t="s">
        <v>44</v>
      </c>
    </row>
    <row r="2" spans="1:4" x14ac:dyDescent="0.3">
      <c r="A2" s="4" t="s">
        <v>41</v>
      </c>
      <c r="B2" t="s">
        <v>18</v>
      </c>
      <c r="C2" t="s">
        <v>15</v>
      </c>
      <c r="D2" t="s">
        <v>42</v>
      </c>
    </row>
    <row r="3" spans="1:4" x14ac:dyDescent="0.3">
      <c r="A3" s="5" t="s">
        <v>39</v>
      </c>
      <c r="B3" s="7">
        <v>53440</v>
      </c>
      <c r="C3" s="7">
        <v>55774.058577405856</v>
      </c>
      <c r="D3" s="7">
        <v>54580.777096114522</v>
      </c>
    </row>
    <row r="4" spans="1:4" x14ac:dyDescent="0.3">
      <c r="A4" s="5" t="s">
        <v>38</v>
      </c>
      <c r="B4" s="7">
        <v>56208.178438661707</v>
      </c>
      <c r="C4" s="7">
        <v>60123.966942148763</v>
      </c>
      <c r="D4" s="7">
        <v>58062.62230919765</v>
      </c>
    </row>
    <row r="5" spans="1:4" x14ac:dyDescent="0.3">
      <c r="A5" s="5" t="s">
        <v>42</v>
      </c>
      <c r="B5" s="7">
        <v>54874.759152215796</v>
      </c>
      <c r="C5" s="7">
        <v>57962.577962577961</v>
      </c>
      <c r="D5" s="7">
        <v>56360</v>
      </c>
    </row>
    <row r="19" spans="1:4" x14ac:dyDescent="0.3">
      <c r="A19" s="4" t="s">
        <v>45</v>
      </c>
      <c r="B19" s="4" t="s">
        <v>44</v>
      </c>
    </row>
    <row r="20" spans="1:4" x14ac:dyDescent="0.3">
      <c r="A20" s="4" t="s">
        <v>41</v>
      </c>
      <c r="B20" t="s">
        <v>18</v>
      </c>
      <c r="C20" t="s">
        <v>15</v>
      </c>
      <c r="D20" t="s">
        <v>42</v>
      </c>
    </row>
    <row r="21" spans="1:4" x14ac:dyDescent="0.3">
      <c r="A21" s="5" t="s">
        <v>16</v>
      </c>
      <c r="B21" s="6">
        <v>166</v>
      </c>
      <c r="C21" s="6">
        <v>200</v>
      </c>
      <c r="D21" s="6">
        <v>366</v>
      </c>
    </row>
    <row r="22" spans="1:4" x14ac:dyDescent="0.3">
      <c r="A22" s="5" t="s">
        <v>26</v>
      </c>
      <c r="B22" s="6">
        <v>92</v>
      </c>
      <c r="C22" s="6">
        <v>77</v>
      </c>
      <c r="D22" s="6">
        <v>169</v>
      </c>
    </row>
    <row r="23" spans="1:4" x14ac:dyDescent="0.3">
      <c r="A23" s="5" t="s">
        <v>22</v>
      </c>
      <c r="B23" s="6">
        <v>67</v>
      </c>
      <c r="C23" s="6">
        <v>95</v>
      </c>
      <c r="D23" s="6">
        <v>162</v>
      </c>
    </row>
    <row r="24" spans="1:4" x14ac:dyDescent="0.3">
      <c r="A24" s="5" t="s">
        <v>23</v>
      </c>
      <c r="B24" s="6">
        <v>116</v>
      </c>
      <c r="C24" s="6">
        <v>76</v>
      </c>
      <c r="D24" s="6">
        <v>192</v>
      </c>
    </row>
    <row r="25" spans="1:4" x14ac:dyDescent="0.3">
      <c r="A25" s="5" t="s">
        <v>46</v>
      </c>
      <c r="B25" s="6">
        <v>78</v>
      </c>
      <c r="C25" s="6">
        <v>33</v>
      </c>
      <c r="D25" s="6">
        <v>111</v>
      </c>
    </row>
    <row r="26" spans="1:4" x14ac:dyDescent="0.3">
      <c r="A26" s="5" t="s">
        <v>42</v>
      </c>
      <c r="B26" s="6">
        <v>519</v>
      </c>
      <c r="C26" s="6">
        <v>481</v>
      </c>
      <c r="D26" s="6">
        <v>1000</v>
      </c>
    </row>
    <row r="39" spans="1:4" x14ac:dyDescent="0.3">
      <c r="A39" s="4" t="s">
        <v>45</v>
      </c>
      <c r="B39" s="4" t="s">
        <v>44</v>
      </c>
    </row>
    <row r="40" spans="1:4" x14ac:dyDescent="0.3">
      <c r="A40" s="4" t="s">
        <v>41</v>
      </c>
      <c r="B40" t="s">
        <v>18</v>
      </c>
      <c r="C40" t="s">
        <v>15</v>
      </c>
      <c r="D40" t="s">
        <v>42</v>
      </c>
    </row>
    <row r="41" spans="1:4" x14ac:dyDescent="0.3">
      <c r="A41" s="5" t="s">
        <v>47</v>
      </c>
      <c r="B41" s="6">
        <v>2</v>
      </c>
      <c r="C41" s="6">
        <v>7</v>
      </c>
      <c r="D41" s="6">
        <v>9</v>
      </c>
    </row>
    <row r="42" spans="1:4" x14ac:dyDescent="0.3">
      <c r="A42" s="5" t="s">
        <v>48</v>
      </c>
      <c r="B42" s="6">
        <v>89</v>
      </c>
      <c r="C42" s="6">
        <v>141</v>
      </c>
      <c r="D42" s="6">
        <v>230</v>
      </c>
    </row>
    <row r="43" spans="1:4" x14ac:dyDescent="0.3">
      <c r="A43" s="5" t="s">
        <v>49</v>
      </c>
      <c r="B43" s="6">
        <v>46</v>
      </c>
      <c r="C43" s="6">
        <v>21</v>
      </c>
      <c r="D43" s="6">
        <v>67</v>
      </c>
    </row>
    <row r="44" spans="1:4" x14ac:dyDescent="0.3">
      <c r="A44" s="5" t="s">
        <v>42</v>
      </c>
      <c r="B44" s="6">
        <v>137</v>
      </c>
      <c r="C44" s="6">
        <v>169</v>
      </c>
      <c r="D44" s="6">
        <v>306</v>
      </c>
    </row>
    <row r="57" spans="1:4" x14ac:dyDescent="0.3">
      <c r="A57" s="4" t="s">
        <v>45</v>
      </c>
      <c r="B57" s="4" t="s">
        <v>44</v>
      </c>
    </row>
    <row r="58" spans="1:4" x14ac:dyDescent="0.3">
      <c r="A58" s="4" t="s">
        <v>41</v>
      </c>
      <c r="B58" t="s">
        <v>18</v>
      </c>
      <c r="C58" t="s">
        <v>15</v>
      </c>
      <c r="D58" t="s">
        <v>42</v>
      </c>
    </row>
    <row r="59" spans="1:4" x14ac:dyDescent="0.3">
      <c r="A59" s="5">
        <v>25</v>
      </c>
      <c r="B59" s="6">
        <v>2</v>
      </c>
      <c r="C59" s="6">
        <v>4</v>
      </c>
      <c r="D59" s="6">
        <v>6</v>
      </c>
    </row>
    <row r="60" spans="1:4" x14ac:dyDescent="0.3">
      <c r="A60" s="5">
        <v>26</v>
      </c>
      <c r="B60" s="6">
        <v>8</v>
      </c>
      <c r="C60" s="6">
        <v>8</v>
      </c>
      <c r="D60" s="6">
        <v>16</v>
      </c>
    </row>
    <row r="61" spans="1:4" x14ac:dyDescent="0.3">
      <c r="A61" s="5">
        <v>27</v>
      </c>
      <c r="B61" s="6">
        <v>15</v>
      </c>
      <c r="C61" s="6">
        <v>8</v>
      </c>
      <c r="D61" s="6">
        <v>23</v>
      </c>
    </row>
    <row r="62" spans="1:4" x14ac:dyDescent="0.3">
      <c r="A62" s="5">
        <v>28</v>
      </c>
      <c r="B62" s="6">
        <v>12</v>
      </c>
      <c r="C62" s="6">
        <v>10</v>
      </c>
      <c r="D62" s="6">
        <v>22</v>
      </c>
    </row>
    <row r="63" spans="1:4" x14ac:dyDescent="0.3">
      <c r="A63" s="5">
        <v>29</v>
      </c>
      <c r="B63" s="6">
        <v>11</v>
      </c>
      <c r="C63" s="6">
        <v>5</v>
      </c>
      <c r="D63" s="6">
        <v>16</v>
      </c>
    </row>
    <row r="64" spans="1:4" x14ac:dyDescent="0.3">
      <c r="A64" s="5">
        <v>30</v>
      </c>
      <c r="B64" s="6">
        <v>23</v>
      </c>
      <c r="C64" s="6">
        <v>4</v>
      </c>
      <c r="D64" s="6">
        <v>27</v>
      </c>
    </row>
    <row r="65" spans="1:4" x14ac:dyDescent="0.3">
      <c r="A65" s="5">
        <v>31</v>
      </c>
      <c r="B65" s="6">
        <v>17</v>
      </c>
      <c r="C65" s="6">
        <v>8</v>
      </c>
      <c r="D65" s="6">
        <v>25</v>
      </c>
    </row>
    <row r="66" spans="1:4" x14ac:dyDescent="0.3">
      <c r="A66" s="5">
        <v>32</v>
      </c>
      <c r="B66" s="6">
        <v>19</v>
      </c>
      <c r="C66" s="6">
        <v>14</v>
      </c>
      <c r="D66" s="6">
        <v>33</v>
      </c>
    </row>
    <row r="67" spans="1:4" x14ac:dyDescent="0.3">
      <c r="A67" s="5">
        <v>33</v>
      </c>
      <c r="B67" s="6">
        <v>8</v>
      </c>
      <c r="C67" s="6">
        <v>13</v>
      </c>
      <c r="D67" s="6">
        <v>21</v>
      </c>
    </row>
    <row r="68" spans="1:4" x14ac:dyDescent="0.3">
      <c r="A68" s="5">
        <v>34</v>
      </c>
      <c r="B68" s="6">
        <v>12</v>
      </c>
      <c r="C68" s="6">
        <v>19</v>
      </c>
      <c r="D68" s="6">
        <v>31</v>
      </c>
    </row>
    <row r="69" spans="1:4" x14ac:dyDescent="0.3">
      <c r="A69" s="5">
        <v>35</v>
      </c>
      <c r="B69" s="6">
        <v>14</v>
      </c>
      <c r="C69" s="6">
        <v>22</v>
      </c>
      <c r="D69" s="6">
        <v>36</v>
      </c>
    </row>
    <row r="70" spans="1:4" x14ac:dyDescent="0.3">
      <c r="A70" s="5">
        <v>36</v>
      </c>
      <c r="B70" s="6">
        <v>7</v>
      </c>
      <c r="C70" s="6">
        <v>30</v>
      </c>
      <c r="D70" s="6">
        <v>37</v>
      </c>
    </row>
    <row r="71" spans="1:4" x14ac:dyDescent="0.3">
      <c r="A71" s="5">
        <v>37</v>
      </c>
      <c r="B71" s="6">
        <v>4</v>
      </c>
      <c r="C71" s="6">
        <v>28</v>
      </c>
      <c r="D71" s="6">
        <v>32</v>
      </c>
    </row>
    <row r="72" spans="1:4" x14ac:dyDescent="0.3">
      <c r="A72" s="5">
        <v>38</v>
      </c>
      <c r="B72" s="6">
        <v>8</v>
      </c>
      <c r="C72" s="6">
        <v>29</v>
      </c>
      <c r="D72" s="6">
        <v>37</v>
      </c>
    </row>
    <row r="73" spans="1:4" x14ac:dyDescent="0.3">
      <c r="A73" s="5">
        <v>39</v>
      </c>
      <c r="B73" s="6">
        <v>10</v>
      </c>
      <c r="C73" s="6">
        <v>12</v>
      </c>
      <c r="D73" s="6">
        <v>22</v>
      </c>
    </row>
    <row r="74" spans="1:4" x14ac:dyDescent="0.3">
      <c r="A74" s="5">
        <v>40</v>
      </c>
      <c r="B74" s="6">
        <v>24</v>
      </c>
      <c r="C74" s="6">
        <v>18</v>
      </c>
      <c r="D74" s="6">
        <v>42</v>
      </c>
    </row>
    <row r="75" spans="1:4" x14ac:dyDescent="0.3">
      <c r="A75" s="5">
        <v>41</v>
      </c>
      <c r="B75" s="6">
        <v>13</v>
      </c>
      <c r="C75" s="6">
        <v>15</v>
      </c>
      <c r="D75" s="6">
        <v>28</v>
      </c>
    </row>
    <row r="76" spans="1:4" x14ac:dyDescent="0.3">
      <c r="A76" s="5">
        <v>42</v>
      </c>
      <c r="B76" s="6">
        <v>22</v>
      </c>
      <c r="C76" s="6">
        <v>12</v>
      </c>
      <c r="D76" s="6">
        <v>34</v>
      </c>
    </row>
    <row r="77" spans="1:4" x14ac:dyDescent="0.3">
      <c r="A77" s="5">
        <v>43</v>
      </c>
      <c r="B77" s="6">
        <v>17</v>
      </c>
      <c r="C77" s="6">
        <v>19</v>
      </c>
      <c r="D77" s="6">
        <v>36</v>
      </c>
    </row>
    <row r="78" spans="1:4" x14ac:dyDescent="0.3">
      <c r="A78" s="5">
        <v>44</v>
      </c>
      <c r="B78" s="6">
        <v>15</v>
      </c>
      <c r="C78" s="6">
        <v>12</v>
      </c>
      <c r="D78" s="6">
        <v>27</v>
      </c>
    </row>
    <row r="79" spans="1:4" x14ac:dyDescent="0.3">
      <c r="A79" s="5">
        <v>45</v>
      </c>
      <c r="B79" s="6">
        <v>18</v>
      </c>
      <c r="C79" s="6">
        <v>13</v>
      </c>
      <c r="D79" s="6">
        <v>31</v>
      </c>
    </row>
    <row r="80" spans="1:4" x14ac:dyDescent="0.3">
      <c r="A80" s="5">
        <v>46</v>
      </c>
      <c r="B80" s="6">
        <v>12</v>
      </c>
      <c r="C80" s="6">
        <v>15</v>
      </c>
      <c r="D80" s="6">
        <v>27</v>
      </c>
    </row>
    <row r="81" spans="1:4" x14ac:dyDescent="0.3">
      <c r="A81" s="5">
        <v>47</v>
      </c>
      <c r="B81" s="6">
        <v>19</v>
      </c>
      <c r="C81" s="6">
        <v>20</v>
      </c>
      <c r="D81" s="6">
        <v>39</v>
      </c>
    </row>
    <row r="82" spans="1:4" x14ac:dyDescent="0.3">
      <c r="A82" s="5">
        <v>48</v>
      </c>
      <c r="B82" s="6">
        <v>16</v>
      </c>
      <c r="C82" s="6">
        <v>13</v>
      </c>
      <c r="D82" s="6">
        <v>29</v>
      </c>
    </row>
    <row r="83" spans="1:4" x14ac:dyDescent="0.3">
      <c r="A83" s="5">
        <v>49</v>
      </c>
      <c r="B83" s="6">
        <v>15</v>
      </c>
      <c r="C83" s="6">
        <v>8</v>
      </c>
      <c r="D83" s="6">
        <v>23</v>
      </c>
    </row>
    <row r="84" spans="1:4" x14ac:dyDescent="0.3">
      <c r="A84" s="5">
        <v>50</v>
      </c>
      <c r="B84" s="6">
        <v>12</v>
      </c>
      <c r="C84" s="6">
        <v>12</v>
      </c>
      <c r="D84" s="6">
        <v>24</v>
      </c>
    </row>
    <row r="85" spans="1:4" x14ac:dyDescent="0.3">
      <c r="A85" s="5">
        <v>51</v>
      </c>
      <c r="B85" s="6">
        <v>10</v>
      </c>
      <c r="C85" s="6">
        <v>12</v>
      </c>
      <c r="D85" s="6">
        <v>22</v>
      </c>
    </row>
    <row r="86" spans="1:4" x14ac:dyDescent="0.3">
      <c r="A86" s="5">
        <v>52</v>
      </c>
      <c r="B86" s="6">
        <v>10</v>
      </c>
      <c r="C86" s="6">
        <v>15</v>
      </c>
      <c r="D86" s="6">
        <v>25</v>
      </c>
    </row>
    <row r="87" spans="1:4" x14ac:dyDescent="0.3">
      <c r="A87" s="5">
        <v>53</v>
      </c>
      <c r="B87" s="6">
        <v>11</v>
      </c>
      <c r="C87" s="6">
        <v>13</v>
      </c>
      <c r="D87" s="6">
        <v>24</v>
      </c>
    </row>
    <row r="88" spans="1:4" x14ac:dyDescent="0.3">
      <c r="A88" s="5">
        <v>54</v>
      </c>
      <c r="B88" s="6">
        <v>5</v>
      </c>
      <c r="C88" s="6">
        <v>11</v>
      </c>
      <c r="D88" s="6">
        <v>16</v>
      </c>
    </row>
    <row r="89" spans="1:4" x14ac:dyDescent="0.3">
      <c r="A89" s="5">
        <v>55</v>
      </c>
      <c r="B89" s="6">
        <v>13</v>
      </c>
      <c r="C89" s="6">
        <v>5</v>
      </c>
      <c r="D89" s="6">
        <v>18</v>
      </c>
    </row>
    <row r="90" spans="1:4" x14ac:dyDescent="0.3">
      <c r="A90" s="5">
        <v>56</v>
      </c>
      <c r="B90" s="6">
        <v>13</v>
      </c>
      <c r="C90" s="6">
        <v>3</v>
      </c>
      <c r="D90" s="6">
        <v>16</v>
      </c>
    </row>
    <row r="91" spans="1:4" x14ac:dyDescent="0.3">
      <c r="A91" s="5">
        <v>57</v>
      </c>
      <c r="B91" s="6">
        <v>4</v>
      </c>
      <c r="C91" s="6">
        <v>4</v>
      </c>
      <c r="D91" s="6">
        <v>8</v>
      </c>
    </row>
    <row r="92" spans="1:4" x14ac:dyDescent="0.3">
      <c r="A92" s="5">
        <v>58</v>
      </c>
      <c r="B92" s="6">
        <v>8</v>
      </c>
      <c r="C92" s="6">
        <v>4</v>
      </c>
      <c r="D92" s="6">
        <v>12</v>
      </c>
    </row>
    <row r="93" spans="1:4" x14ac:dyDescent="0.3">
      <c r="A93" s="5">
        <v>59</v>
      </c>
      <c r="B93" s="6">
        <v>14</v>
      </c>
      <c r="C93" s="6">
        <v>6</v>
      </c>
      <c r="D93" s="6">
        <v>20</v>
      </c>
    </row>
    <row r="94" spans="1:4" x14ac:dyDescent="0.3">
      <c r="A94" s="5">
        <v>60</v>
      </c>
      <c r="B94" s="6">
        <v>8</v>
      </c>
      <c r="C94" s="6">
        <v>7</v>
      </c>
      <c r="D94" s="6">
        <v>15</v>
      </c>
    </row>
    <row r="95" spans="1:4" x14ac:dyDescent="0.3">
      <c r="A95" s="5">
        <v>61</v>
      </c>
      <c r="B95" s="6">
        <v>5</v>
      </c>
      <c r="C95" s="6">
        <v>4</v>
      </c>
      <c r="D95" s="6">
        <v>9</v>
      </c>
    </row>
    <row r="96" spans="1:4" x14ac:dyDescent="0.3">
      <c r="A96" s="5">
        <v>62</v>
      </c>
      <c r="B96" s="6">
        <v>9</v>
      </c>
      <c r="C96" s="6">
        <v>4</v>
      </c>
      <c r="D96" s="6">
        <v>13</v>
      </c>
    </row>
    <row r="97" spans="1:4" x14ac:dyDescent="0.3">
      <c r="A97" s="5">
        <v>63</v>
      </c>
      <c r="B97" s="6">
        <v>7</v>
      </c>
      <c r="C97" s="6">
        <v>2</v>
      </c>
      <c r="D97" s="6">
        <v>9</v>
      </c>
    </row>
    <row r="98" spans="1:4" x14ac:dyDescent="0.3">
      <c r="A98" s="5">
        <v>64</v>
      </c>
      <c r="B98" s="6">
        <v>7</v>
      </c>
      <c r="C98" s="6">
        <v>3</v>
      </c>
      <c r="D98" s="6">
        <v>10</v>
      </c>
    </row>
    <row r="99" spans="1:4" x14ac:dyDescent="0.3">
      <c r="A99" s="5">
        <v>65</v>
      </c>
      <c r="B99" s="6">
        <v>6</v>
      </c>
      <c r="C99" s="6">
        <v>3</v>
      </c>
      <c r="D99" s="6">
        <v>9</v>
      </c>
    </row>
    <row r="100" spans="1:4" x14ac:dyDescent="0.3">
      <c r="A100" s="5">
        <v>66</v>
      </c>
      <c r="B100" s="6">
        <v>8</v>
      </c>
      <c r="C100" s="6">
        <v>6</v>
      </c>
      <c r="D100" s="6">
        <v>14</v>
      </c>
    </row>
    <row r="101" spans="1:4" x14ac:dyDescent="0.3">
      <c r="A101" s="5">
        <v>67</v>
      </c>
      <c r="B101" s="6">
        <v>8</v>
      </c>
      <c r="C101" s="6">
        <v>2</v>
      </c>
      <c r="D101" s="6">
        <v>10</v>
      </c>
    </row>
    <row r="102" spans="1:4" x14ac:dyDescent="0.3">
      <c r="A102" s="5">
        <v>68</v>
      </c>
      <c r="B102" s="6">
        <v>3</v>
      </c>
      <c r="C102" s="6"/>
      <c r="D102" s="6">
        <v>3</v>
      </c>
    </row>
    <row r="103" spans="1:4" x14ac:dyDescent="0.3">
      <c r="A103" s="5">
        <v>69</v>
      </c>
      <c r="B103" s="6">
        <v>8</v>
      </c>
      <c r="C103" s="6"/>
      <c r="D103" s="6">
        <v>8</v>
      </c>
    </row>
    <row r="104" spans="1:4" x14ac:dyDescent="0.3">
      <c r="A104" s="5">
        <v>70</v>
      </c>
      <c r="B104" s="6">
        <v>3</v>
      </c>
      <c r="C104" s="6">
        <v>1</v>
      </c>
      <c r="D104" s="6">
        <v>4</v>
      </c>
    </row>
    <row r="105" spans="1:4" x14ac:dyDescent="0.3">
      <c r="A105" s="5">
        <v>71</v>
      </c>
      <c r="B105" s="6">
        <v>1</v>
      </c>
      <c r="C105" s="6"/>
      <c r="D105" s="6">
        <v>1</v>
      </c>
    </row>
    <row r="106" spans="1:4" x14ac:dyDescent="0.3">
      <c r="A106" s="5">
        <v>72</v>
      </c>
      <c r="B106" s="6"/>
      <c r="C106" s="6">
        <v>1</v>
      </c>
      <c r="D106" s="6">
        <v>1</v>
      </c>
    </row>
    <row r="107" spans="1:4" x14ac:dyDescent="0.3">
      <c r="A107" s="5">
        <v>73</v>
      </c>
      <c r="B107" s="6">
        <v>2</v>
      </c>
      <c r="C107" s="6">
        <v>2</v>
      </c>
      <c r="D107" s="6">
        <v>4</v>
      </c>
    </row>
    <row r="108" spans="1:4" x14ac:dyDescent="0.3">
      <c r="A108" s="5">
        <v>74</v>
      </c>
      <c r="B108" s="6"/>
      <c r="C108" s="6">
        <v>1</v>
      </c>
      <c r="D108" s="6">
        <v>1</v>
      </c>
    </row>
    <row r="109" spans="1:4" x14ac:dyDescent="0.3">
      <c r="A109" s="5">
        <v>78</v>
      </c>
      <c r="B109" s="6">
        <v>1</v>
      </c>
      <c r="C109" s="6">
        <v>1</v>
      </c>
      <c r="D109" s="6">
        <v>2</v>
      </c>
    </row>
    <row r="110" spans="1:4" x14ac:dyDescent="0.3">
      <c r="A110" s="5">
        <v>80</v>
      </c>
      <c r="B110" s="6">
        <v>1</v>
      </c>
      <c r="C110" s="6"/>
      <c r="D110" s="6">
        <v>1</v>
      </c>
    </row>
    <row r="111" spans="1:4" x14ac:dyDescent="0.3">
      <c r="A111" s="5">
        <v>89</v>
      </c>
      <c r="B111" s="6">
        <v>1</v>
      </c>
      <c r="C111" s="6"/>
      <c r="D111" s="6">
        <v>1</v>
      </c>
    </row>
    <row r="112" spans="1:4" x14ac:dyDescent="0.3">
      <c r="A112" s="5" t="s">
        <v>42</v>
      </c>
      <c r="B112" s="6">
        <v>519</v>
      </c>
      <c r="C112" s="6">
        <v>481</v>
      </c>
      <c r="D112" s="6">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62B58-07AD-4CB8-8E96-A65231110E20}">
  <dimension ref="A1:S2"/>
  <sheetViews>
    <sheetView showGridLines="0" tabSelected="1" workbookViewId="0">
      <selection activeCell="V16" sqref="V16"/>
    </sheetView>
  </sheetViews>
  <sheetFormatPr defaultRowHeight="14.4" x14ac:dyDescent="0.3"/>
  <sheetData>
    <row r="1" spans="1:19" ht="24.6" x14ac:dyDescent="0.4">
      <c r="A1" s="8"/>
      <c r="B1" s="8"/>
      <c r="C1" s="10"/>
      <c r="D1" s="8"/>
      <c r="E1" s="11" t="s">
        <v>50</v>
      </c>
      <c r="F1" s="12"/>
      <c r="G1" s="12"/>
      <c r="H1" s="12"/>
      <c r="I1" s="12"/>
      <c r="J1" s="12"/>
      <c r="K1" s="8"/>
      <c r="L1" s="8"/>
      <c r="M1" s="8"/>
      <c r="N1" s="8"/>
      <c r="O1" s="8"/>
      <c r="P1" s="8"/>
      <c r="Q1" s="8"/>
      <c r="R1" s="8"/>
      <c r="S1" s="8"/>
    </row>
    <row r="2" spans="1:19" x14ac:dyDescent="0.3">
      <c r="A2" s="8"/>
      <c r="B2" s="8"/>
      <c r="C2" s="8"/>
      <c r="D2" s="8"/>
      <c r="E2" s="8"/>
      <c r="F2" s="9"/>
      <c r="G2" s="8"/>
      <c r="H2" s="8"/>
      <c r="I2" s="8"/>
      <c r="J2" s="8"/>
      <c r="K2" s="8"/>
      <c r="L2" s="8"/>
      <c r="M2" s="8"/>
      <c r="N2" s="8"/>
      <c r="O2" s="8"/>
      <c r="P2" s="8"/>
      <c r="Q2" s="8"/>
      <c r="R2" s="8"/>
      <c r="S2"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GOURI GAUTAM</dc:creator>
  <cp:lastModifiedBy>GOURI GAUTAM</cp:lastModifiedBy>
  <dcterms:created xsi:type="dcterms:W3CDTF">2022-03-18T02:50:57Z</dcterms:created>
  <dcterms:modified xsi:type="dcterms:W3CDTF">2026-06-01T14:56:50Z</dcterms:modified>
</cp:coreProperties>
</file>